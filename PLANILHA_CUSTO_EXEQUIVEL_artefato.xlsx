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 Exequív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<sst xmlns="http://schemas.openxmlformats.org/spreadsheetml/2006/main" count="41" uniqueCount="41">
  <si>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PLANILHA DE ANÁLISE DE CUSTO EXEQUÍVEL</t>
  </si>
  <si>
    <t xml:space="preserve">IDENTIFICAÇÃO DA LICITAÇÃO</t>
  </si>
  <si>
    <t xml:space="preserve">Nº Pregão/Tomada de Preço:</t>
  </si>
  <si>
    <t xml:space="preserve">Descrição:</t>
  </si>
  <si>
    <t xml:space="preserve">Descrição da compra</t>
  </si>
  <si>
    <t xml:space="preserve">Órgão/Entidade:</t>
  </si>
  <si>
    <t xml:space="preserve">Data:</t>
  </si>
  <si>
    <t xml:space="preserve">11/06/2026</t>
  </si>
  <si>
    <t xml:space="preserve">PARÂMETROS DE CÁLCULO</t>
  </si>
  <si>
    <t xml:space="preserve">% Custo Produção (da Matéria Prima):</t>
  </si>
  <si>
    <t xml:space="preserve">Margem Mínima Aceitável:</t>
  </si>
  <si>
    <t xml:space="preserve">Taxa Padrão Impostos (%):</t>
  </si>
  <si>
    <t xml:space="preserve">Margem Observada:</t>
  </si>
  <si>
    <t xml:space="preserve">ITEM</t>
  </si>
  <si>
    <t xml:space="preserve">DESCRIÇÃO</t>
  </si>
  <si>
    <t xml:space="preserve">TIPO</t>
  </si>
  <si>
    <t xml:space="preserve">UN</t>
  </si>
  <si>
    <t xml:space="preserve">QTD</t>
  </si>
  <si>
    <t xml:space="preserve">CUSTO MAT. PRIMA</t>
  </si>
  <si>
    <t xml:space="preserve">% PRODUÇÃO</t>
  </si>
  <si>
    <t xml:space="preserve">CUSTO PRODUÇÃO</t>
  </si>
  <si>
    <t xml:space="preserve">TAXA IMPOSTOS</t>
  </si>
  <si>
    <t xml:space="preserve">CUSTO IMPOSTOS</t>
  </si>
  <si>
    <t xml:space="preserve">TRANSPORTE</t>
  </si>
  <si>
    <t xml:space="preserve">CUSTO UNITÁRIO</t>
  </si>
  <si>
    <t xml:space="preserve">CUSTO TOTAL</t>
  </si>
  <si>
    <t xml:space="preserve">VLR HOMOLOGADO</t>
  </si>
  <si>
    <t xml:space="preserve">MARGEM R$</t>
  </si>
  <si>
    <t xml:space="preserve">TOTAIS</t>
  </si>
  <si>
    <t xml:space="preserve">ANÁLISE DE VIABILIDADE</t>
  </si>
  <si>
    <t xml:space="preserve">Custo Total da Proposta:</t>
  </si>
  <si>
    <t xml:space="preserve">Receita Total (Valor Homologado):</t>
  </si>
  <si>
    <t xml:space="preserve">Lucro Total:</t>
  </si>
  <si>
    <t xml:space="preserve">Margem Geral (%):</t>
  </si>
  <si>
    <t xml:space="preserve">Status de Viabilidade:</t>
  </si>
  <si>
    <t xml:space="preserve">INSTRUÇÕES DE PREENCHIMENTO:</t>
  </si>
  <si>
    <t xml:space="preserve">• Campos em AZUL: Digite os valores (inputs)</t>
  </si>
  <si>
    <t xml:space="preserve">• Campos em PRETO: Cálculos automáticos (não edite)</t>
  </si>
  <si>
    <t xml:space="preserve">• TIPO: Escolha 'Produto', 'Serviço' ou 'Ambos'</t>
  </si>
  <si>
    <t xml:space="preserve">• Margem mínima exigida: 15%</t>
  </si>
  <si>
    <t xml:space="preserve">• Modifique % Produção e Taxa de Impostos conforme necessário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</si>
</sst>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%"/>
    <numFmt numFmtId="167" formatCode="#,##0.00"/>
    <numFmt numFmtId="168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DBEEF3"/>
      </patternFill>
    </fill>
    <fill>
      <patternFill patternType="solid">
        <fgColor rgb="FFDBEEF3"/>
        <bgColor rgb="FFE7E6E6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B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2" min="9" style="0" width="14"/>
    <col collapsed="false" customWidth="true" hidden="false" outlineLevel="0" max="15" min="13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4"/>
      <c r="C4" s="3" t="s">
        <v>3</v>
      </c>
      <c r="D4" s="4" t="s">
        <v>4</v>
      </c>
      <c r="E4" s="4"/>
      <c r="F4" s="4"/>
    </row>
    <row r="5" customFormat="false" ht="15" hidden="false" customHeight="false" outlineLevel="0" collapsed="false">
      <c r="A5" s="3" t="s">
        <v>5</v>
      </c>
      <c r="B5" s="4"/>
      <c r="C5" s="3" t="s">
        <v>6</v>
      </c>
      <c r="D5" s="5" t="s">
        <v>7</v>
      </c>
    </row>
    <row r="7" customFormat="false" ht="15" hidden="false" customHeight="false" outlineLevel="0" collapsed="false">
      <c r="A7" s="2" t="s">
        <v>8</v>
      </c>
      <c r="B7" s="2"/>
    </row>
    <row r="8" customFormat="false" ht="15" hidden="false" customHeight="false" outlineLevel="0" collapsed="false">
      <c r="A8" s="3" t="s">
        <v>9</v>
      </c>
      <c r="B8" s="6" t="n">
        <v>0.3</v>
      </c>
      <c r="C8" s="3" t="s">
        <v>10</v>
      </c>
      <c r="D8" s="6" t="n">
        <v>0.15</v>
      </c>
    </row>
    <row r="9" customFormat="false" ht="15" hidden="false" customHeight="false" outlineLevel="0" collapsed="false">
      <c r="A9" s="3" t="s">
        <v>11</v>
      </c>
      <c r="B9" s="6" t="n">
        <v>0.08</v>
      </c>
      <c r="C9" s="3" t="s">
        <v>12</v>
      </c>
      <c r="D9" s="7" t="n">
        <f aca="false">IF(N$32=0,0,O$32/N$32)</f>
        <v>0</v>
      </c>
    </row>
    <row r="11" customFormat="false" ht="30" hidden="false" customHeight="true" outlineLevel="0" collapsed="false">
      <c r="A11" s="8" t="s">
        <v>13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19</v>
      </c>
      <c r="H11" s="8" t="s">
        <v>20</v>
      </c>
      <c r="I11" s="8" t="s">
        <v>21</v>
      </c>
      <c r="J11" s="8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 t="s">
        <v>27</v>
      </c>
    </row>
    <row r="12" customFormat="false" ht="15" hidden="false" customHeight="false" outlineLevel="0" collapsed="false">
      <c r="A12" s="9" t="n">
        <v>1</v>
      </c>
      <c r="B12" s="10"/>
      <c r="C12" s="11"/>
      <c r="D12" s="11"/>
      <c r="E12" s="12"/>
      <c r="F12" s="12"/>
      <c r="G12" s="13" t="n">
        <f aca="false">$B$8</f>
        <v>0.3</v>
      </c>
      <c r="H12" s="14" t="n">
        <f aca="false">IF(F12=0,0,F12*G12)</f>
        <v>0</v>
      </c>
      <c r="I12" s="13" t="n">
        <f aca="false">$B$9</f>
        <v>0.08</v>
      </c>
      <c r="J12" s="14" t="n">
        <f aca="false">IF(OR(F12=0,H12=0),0,(F12+H12)*I12)</f>
        <v>0</v>
      </c>
      <c r="K12" s="12"/>
      <c r="L12" s="14" t="n">
        <f aca="false">F12+H12+J12+K12</f>
        <v>0</v>
      </c>
      <c r="M12" s="14" t="n">
        <f aca="false">IF(E12=0,0,L12*E12)</f>
        <v>0</v>
      </c>
      <c r="N12" s="12"/>
      <c r="O12" s="14" t="n">
        <f aca="false">IF(M12=0,0,N12-M12)</f>
        <v>0</v>
      </c>
    </row>
    <row r="13" customFormat="false" ht="15" hidden="false" customHeight="false" outlineLevel="0" collapsed="false">
      <c r="A13" s="9" t="n">
        <v>2</v>
      </c>
      <c r="B13" s="10"/>
      <c r="C13" s="11"/>
      <c r="D13" s="11"/>
      <c r="E13" s="12"/>
      <c r="F13" s="12"/>
      <c r="G13" s="13" t="n">
        <f aca="false">$B$8</f>
        <v>0.3</v>
      </c>
      <c r="H13" s="14" t="n">
        <f aca="false">IF(F13=0,0,F13*G13)</f>
        <v>0</v>
      </c>
      <c r="I13" s="13" t="n">
        <f aca="false">$B$9</f>
        <v>0.08</v>
      </c>
      <c r="J13" s="14" t="n">
        <f aca="false">IF(OR(F13=0,H13=0),0,(F13+H13)*I13)</f>
        <v>0</v>
      </c>
      <c r="K13" s="12"/>
      <c r="L13" s="14" t="n">
        <f aca="false">F13+H13+J13+K13</f>
        <v>0</v>
      </c>
      <c r="M13" s="14" t="n">
        <f aca="false">IF(E13=0,0,L13*E13)</f>
        <v>0</v>
      </c>
      <c r="N13" s="12"/>
      <c r="O13" s="14" t="n">
        <f aca="false">IF(M13=0,0,N13-M13)</f>
        <v>0</v>
      </c>
    </row>
    <row r="14" customFormat="false" ht="15" hidden="false" customHeight="false" outlineLevel="0" collapsed="false">
      <c r="A14" s="9" t="n">
        <v>3</v>
      </c>
      <c r="B14" s="10"/>
      <c r="C14" s="11"/>
      <c r="D14" s="11"/>
      <c r="E14" s="12"/>
      <c r="F14" s="12"/>
      <c r="G14" s="13" t="n">
        <f aca="false">$B$8</f>
        <v>0.3</v>
      </c>
      <c r="H14" s="14" t="n">
        <f aca="false">IF(F14=0,0,F14*G14)</f>
        <v>0</v>
      </c>
      <c r="I14" s="13" t="n">
        <f aca="false">$B$9</f>
        <v>0.08</v>
      </c>
      <c r="J14" s="14" t="n">
        <f aca="false">IF(OR(F14=0,H14=0),0,(F14+H14)*I14)</f>
        <v>0</v>
      </c>
      <c r="K14" s="12"/>
      <c r="L14" s="14" t="n">
        <f aca="false">F14+H14+J14+K14</f>
        <v>0</v>
      </c>
      <c r="M14" s="14" t="n">
        <f aca="false">IF(E14=0,0,L14*E14)</f>
        <v>0</v>
      </c>
      <c r="N14" s="12"/>
      <c r="O14" s="14" t="n">
        <f aca="false">IF(M14=0,0,N14-M14)</f>
        <v>0</v>
      </c>
    </row>
    <row r="15" customFormat="false" ht="15" hidden="false" customHeight="false" outlineLevel="0" collapsed="false">
      <c r="A15" s="9" t="n">
        <v>4</v>
      </c>
      <c r="B15" s="10"/>
      <c r="C15" s="11"/>
      <c r="D15" s="11"/>
      <c r="E15" s="12"/>
      <c r="F15" s="12"/>
      <c r="G15" s="13" t="n">
        <f aca="false">$B$8</f>
        <v>0.3</v>
      </c>
      <c r="H15" s="14" t="n">
        <f aca="false">IF(F15=0,0,F15*G15)</f>
        <v>0</v>
      </c>
      <c r="I15" s="13" t="n">
        <f aca="false">$B$9</f>
        <v>0.08</v>
      </c>
      <c r="J15" s="14" t="n">
        <f aca="false">IF(OR(F15=0,H15=0),0,(F15+H15)*I15)</f>
        <v>0</v>
      </c>
      <c r="K15" s="12"/>
      <c r="L15" s="14" t="n">
        <f aca="false">F15+H15+J15+K15</f>
        <v>0</v>
      </c>
      <c r="M15" s="14" t="n">
        <f aca="false">IF(E15=0,0,L15*E15)</f>
        <v>0</v>
      </c>
      <c r="N15" s="12"/>
      <c r="O15" s="14" t="n">
        <f aca="false">IF(M15=0,0,N15-M15)</f>
        <v>0</v>
      </c>
    </row>
    <row r="16" customFormat="false" ht="15" hidden="false" customHeight="false" outlineLevel="0" collapsed="false">
      <c r="A16" s="9" t="n">
        <v>5</v>
      </c>
      <c r="B16" s="10"/>
      <c r="C16" s="11"/>
      <c r="D16" s="11"/>
      <c r="E16" s="12"/>
      <c r="F16" s="12"/>
      <c r="G16" s="13" t="n">
        <f aca="false">$B$8</f>
        <v>0.3</v>
      </c>
      <c r="H16" s="14" t="n">
        <f aca="false">IF(F16=0,0,F16*G16)</f>
        <v>0</v>
      </c>
      <c r="I16" s="13" t="n">
        <f aca="false">$B$9</f>
        <v>0.08</v>
      </c>
      <c r="J16" s="14" t="n">
        <f aca="false">IF(OR(F16=0,H16=0),0,(F16+H16)*I16)</f>
        <v>0</v>
      </c>
      <c r="K16" s="12"/>
      <c r="L16" s="14" t="n">
        <f aca="false">F16+H16+J16+K16</f>
        <v>0</v>
      </c>
      <c r="M16" s="14" t="n">
        <f aca="false">IF(E16=0,0,L16*E16)</f>
        <v>0</v>
      </c>
      <c r="N16" s="12"/>
      <c r="O16" s="14" t="n">
        <f aca="false">IF(M16=0,0,N16-M16)</f>
        <v>0</v>
      </c>
    </row>
    <row r="17" customFormat="false" ht="15" hidden="false" customHeight="false" outlineLevel="0" collapsed="false">
      <c r="A17" s="9" t="n">
        <v>6</v>
      </c>
      <c r="B17" s="10"/>
      <c r="C17" s="11"/>
      <c r="D17" s="11"/>
      <c r="E17" s="12"/>
      <c r="F17" s="12"/>
      <c r="G17" s="13" t="n">
        <f aca="false">$B$8</f>
        <v>0.3</v>
      </c>
      <c r="H17" s="14" t="n">
        <f aca="false">IF(F17=0,0,F17*G17)</f>
        <v>0</v>
      </c>
      <c r="I17" s="13" t="n">
        <f aca="false">$B$9</f>
        <v>0.08</v>
      </c>
      <c r="J17" s="14" t="n">
        <f aca="false">IF(OR(F17=0,H17=0),0,(F17+H17)*I17)</f>
        <v>0</v>
      </c>
      <c r="K17" s="12"/>
      <c r="L17" s="14" t="n">
        <f aca="false">F17+H17+J17+K17</f>
        <v>0</v>
      </c>
      <c r="M17" s="14" t="n">
        <f aca="false">IF(E17=0,0,L17*E17)</f>
        <v>0</v>
      </c>
      <c r="N17" s="12"/>
      <c r="O17" s="14" t="n">
        <f aca="false">IF(M17=0,0,N17-M17)</f>
        <v>0</v>
      </c>
    </row>
    <row r="18" customFormat="false" ht="15" hidden="false" customHeight="false" outlineLevel="0" collapsed="false">
      <c r="A18" s="9" t="n">
        <v>7</v>
      </c>
      <c r="B18" s="10"/>
      <c r="C18" s="11"/>
      <c r="D18" s="11"/>
      <c r="E18" s="12"/>
      <c r="F18" s="12"/>
      <c r="G18" s="13" t="n">
        <f aca="false">$B$8</f>
        <v>0.3</v>
      </c>
      <c r="H18" s="14" t="n">
        <f aca="false">IF(F18=0,0,F18*G18)</f>
        <v>0</v>
      </c>
      <c r="I18" s="13" t="n">
        <f aca="false">$B$9</f>
        <v>0.08</v>
      </c>
      <c r="J18" s="14" t="n">
        <f aca="false">IF(OR(F18=0,H18=0),0,(F18+H18)*I18)</f>
        <v>0</v>
      </c>
      <c r="K18" s="12"/>
      <c r="L18" s="14" t="n">
        <f aca="false">F18+H18+J18+K18</f>
        <v>0</v>
      </c>
      <c r="M18" s="14" t="n">
        <f aca="false">IF(E18=0,0,L18*E18)</f>
        <v>0</v>
      </c>
      <c r="N18" s="12"/>
      <c r="O18" s="14" t="n">
        <f aca="false">IF(M18=0,0,N18-M18)</f>
        <v>0</v>
      </c>
    </row>
    <row r="19" customFormat="false" ht="15" hidden="false" customHeight="false" outlineLevel="0" collapsed="false">
      <c r="A19" s="9" t="n">
        <v>8</v>
      </c>
      <c r="B19" s="10"/>
      <c r="C19" s="11"/>
      <c r="D19" s="11"/>
      <c r="E19" s="12"/>
      <c r="F19" s="12"/>
      <c r="G19" s="13" t="n">
        <f aca="false">$B$8</f>
        <v>0.3</v>
      </c>
      <c r="H19" s="14" t="n">
        <f aca="false">IF(F19=0,0,F19*G19)</f>
        <v>0</v>
      </c>
      <c r="I19" s="13" t="n">
        <f aca="false">$B$9</f>
        <v>0.08</v>
      </c>
      <c r="J19" s="14" t="n">
        <f aca="false">IF(OR(F19=0,H19=0),0,(F19+H19)*I19)</f>
        <v>0</v>
      </c>
      <c r="K19" s="12"/>
      <c r="L19" s="14" t="n">
        <f aca="false">F19+H19+J19+K19</f>
        <v>0</v>
      </c>
      <c r="M19" s="14" t="n">
        <f aca="false">IF(E19=0,0,L19*E19)</f>
        <v>0</v>
      </c>
      <c r="N19" s="12"/>
      <c r="O19" s="14" t="n">
        <f aca="false">IF(M19=0,0,N19-M19)</f>
        <v>0</v>
      </c>
    </row>
    <row r="20" customFormat="false" ht="15" hidden="false" customHeight="false" outlineLevel="0" collapsed="false">
      <c r="A20" s="9" t="n">
        <v>9</v>
      </c>
      <c r="B20" s="10"/>
      <c r="C20" s="11"/>
      <c r="D20" s="11"/>
      <c r="E20" s="12"/>
      <c r="F20" s="12"/>
      <c r="G20" s="13" t="n">
        <f aca="false">$B$8</f>
        <v>0.3</v>
      </c>
      <c r="H20" s="14" t="n">
        <f aca="false">IF(F20=0,0,F20*G20)</f>
        <v>0</v>
      </c>
      <c r="I20" s="13" t="n">
        <f aca="false">$B$9</f>
        <v>0.08</v>
      </c>
      <c r="J20" s="14" t="n">
        <f aca="false">IF(OR(F20=0,H20=0),0,(F20+H20)*I20)</f>
        <v>0</v>
      </c>
      <c r="K20" s="12"/>
      <c r="L20" s="14" t="n">
        <f aca="false">F20+H20+J20+K20</f>
        <v>0</v>
      </c>
      <c r="M20" s="14" t="n">
        <f aca="false">IF(E20=0,0,L20*E20)</f>
        <v>0</v>
      </c>
      <c r="N20" s="12"/>
      <c r="O20" s="14" t="n">
        <f aca="false">IF(M20=0,0,N20-M20)</f>
        <v>0</v>
      </c>
    </row>
    <row r="21" customFormat="false" ht="15" hidden="false" customHeight="false" outlineLevel="0" collapsed="false">
      <c r="A21" s="9" t="n">
        <v>10</v>
      </c>
      <c r="B21" s="10"/>
      <c r="C21" s="11"/>
      <c r="D21" s="11"/>
      <c r="E21" s="12"/>
      <c r="F21" s="12"/>
      <c r="G21" s="13" t="n">
        <f aca="false">$B$8</f>
        <v>0.3</v>
      </c>
      <c r="H21" s="14" t="n">
        <f aca="false">IF(F21=0,0,F21*G21)</f>
        <v>0</v>
      </c>
      <c r="I21" s="13" t="n">
        <f aca="false">$B$9</f>
        <v>0.08</v>
      </c>
      <c r="J21" s="14" t="n">
        <f aca="false">IF(OR(F21=0,H21=0),0,(F21+H21)*I21)</f>
        <v>0</v>
      </c>
      <c r="K21" s="12"/>
      <c r="L21" s="14" t="n">
        <f aca="false">F21+H21+J21+K21</f>
        <v>0</v>
      </c>
      <c r="M21" s="14" t="n">
        <f aca="false">IF(E21=0,0,L21*E21)</f>
        <v>0</v>
      </c>
      <c r="N21" s="12"/>
      <c r="O21" s="14" t="n">
        <f aca="false">IF(M21=0,0,N21-M21)</f>
        <v>0</v>
      </c>
    </row>
    <row r="22" customFormat="false" ht="15" hidden="false" customHeight="false" outlineLevel="0" collapsed="false">
      <c r="A22" s="9" t="n">
        <v>11</v>
      </c>
      <c r="B22" s="10"/>
      <c r="C22" s="11"/>
      <c r="D22" s="11"/>
      <c r="E22" s="12"/>
      <c r="F22" s="12"/>
      <c r="G22" s="13" t="n">
        <f aca="false">$B$8</f>
        <v>0.3</v>
      </c>
      <c r="H22" s="14" t="n">
        <f aca="false">IF(F22=0,0,F22*G22)</f>
        <v>0</v>
      </c>
      <c r="I22" s="13" t="n">
        <f aca="false">$B$9</f>
        <v>0.08</v>
      </c>
      <c r="J22" s="14" t="n">
        <f aca="false">IF(OR(F22=0,H22=0),0,(F22+H22)*I22)</f>
        <v>0</v>
      </c>
      <c r="K22" s="12"/>
      <c r="L22" s="14" t="n">
        <f aca="false">F22+H22+J22+K22</f>
        <v>0</v>
      </c>
      <c r="M22" s="14" t="n">
        <f aca="false">IF(E22=0,0,L22*E22)</f>
        <v>0</v>
      </c>
      <c r="N22" s="12"/>
      <c r="O22" s="14" t="n">
        <f aca="false">IF(M22=0,0,N22-M22)</f>
        <v>0</v>
      </c>
    </row>
    <row r="23" customFormat="false" ht="15" hidden="false" customHeight="false" outlineLevel="0" collapsed="false">
      <c r="A23" s="9" t="n">
        <v>12</v>
      </c>
      <c r="B23" s="10"/>
      <c r="C23" s="11"/>
      <c r="D23" s="11"/>
      <c r="E23" s="12"/>
      <c r="F23" s="12"/>
      <c r="G23" s="13" t="n">
        <f aca="false">$B$8</f>
        <v>0.3</v>
      </c>
      <c r="H23" s="14" t="n">
        <f aca="false">IF(F23=0,0,F23*G23)</f>
        <v>0</v>
      </c>
      <c r="I23" s="13" t="n">
        <f aca="false">$B$9</f>
        <v>0.08</v>
      </c>
      <c r="J23" s="14" t="n">
        <f aca="false">IF(OR(F23=0,H23=0),0,(F23+H23)*I23)</f>
        <v>0</v>
      </c>
      <c r="K23" s="12"/>
      <c r="L23" s="14" t="n">
        <f aca="false">F23+H23+J23+K23</f>
        <v>0</v>
      </c>
      <c r="M23" s="14" t="n">
        <f aca="false">IF(E23=0,0,L23*E23)</f>
        <v>0</v>
      </c>
      <c r="N23" s="12"/>
      <c r="O23" s="14" t="n">
        <f aca="false">IF(M23=0,0,N23-M23)</f>
        <v>0</v>
      </c>
    </row>
    <row r="24" customFormat="false" ht="15" hidden="false" customHeight="false" outlineLevel="0" collapsed="false">
      <c r="A24" s="9" t="n">
        <v>13</v>
      </c>
      <c r="B24" s="10"/>
      <c r="C24" s="11"/>
      <c r="D24" s="11"/>
      <c r="E24" s="12"/>
      <c r="F24" s="12"/>
      <c r="G24" s="13" t="n">
        <f aca="false">$B$8</f>
        <v>0.3</v>
      </c>
      <c r="H24" s="14" t="n">
        <f aca="false">IF(F24=0,0,F24*G24)</f>
        <v>0</v>
      </c>
      <c r="I24" s="13" t="n">
        <f aca="false">$B$9</f>
        <v>0.08</v>
      </c>
      <c r="J24" s="14" t="n">
        <f aca="false">IF(OR(F24=0,H24=0),0,(F24+H24)*I24)</f>
        <v>0</v>
      </c>
      <c r="K24" s="12"/>
      <c r="L24" s="14" t="n">
        <f aca="false">F24+H24+J24+K24</f>
        <v>0</v>
      </c>
      <c r="M24" s="14" t="n">
        <f aca="false">IF(E24=0,0,L24*E24)</f>
        <v>0</v>
      </c>
      <c r="N24" s="12"/>
      <c r="O24" s="14" t="n">
        <f aca="false">IF(M24=0,0,N24-M24)</f>
        <v>0</v>
      </c>
    </row>
    <row r="25" customFormat="false" ht="15" hidden="false" customHeight="false" outlineLevel="0" collapsed="false">
      <c r="A25" s="9" t="n">
        <v>14</v>
      </c>
      <c r="B25" s="10"/>
      <c r="C25" s="11"/>
      <c r="D25" s="11"/>
      <c r="E25" s="12"/>
      <c r="F25" s="12"/>
      <c r="G25" s="13" t="n">
        <f aca="false">$B$8</f>
        <v>0.3</v>
      </c>
      <c r="H25" s="14" t="n">
        <f aca="false">IF(F25=0,0,F25*G25)</f>
        <v>0</v>
      </c>
      <c r="I25" s="13" t="n">
        <f aca="false">$B$9</f>
        <v>0.08</v>
      </c>
      <c r="J25" s="14" t="n">
        <f aca="false">IF(OR(F25=0,H25=0),0,(F25+H25)*I25)</f>
        <v>0</v>
      </c>
      <c r="K25" s="12"/>
      <c r="L25" s="14" t="n">
        <f aca="false">F25+H25+J25+K25</f>
        <v>0</v>
      </c>
      <c r="M25" s="14" t="n">
        <f aca="false">IF(E25=0,0,L25*E25)</f>
        <v>0</v>
      </c>
      <c r="N25" s="12"/>
      <c r="O25" s="14" t="n">
        <f aca="false">IF(M25=0,0,N25-M25)</f>
        <v>0</v>
      </c>
    </row>
    <row r="26" customFormat="false" ht="15" hidden="false" customHeight="false" outlineLevel="0" collapsed="false">
      <c r="A26" s="9" t="n">
        <v>15</v>
      </c>
      <c r="B26" s="10"/>
      <c r="C26" s="11"/>
      <c r="D26" s="11"/>
      <c r="E26" s="12"/>
      <c r="F26" s="12"/>
      <c r="G26" s="13" t="n">
        <f aca="false">$B$8</f>
        <v>0.3</v>
      </c>
      <c r="H26" s="14" t="n">
        <f aca="false">IF(F26=0,0,F26*G26)</f>
        <v>0</v>
      </c>
      <c r="I26" s="13" t="n">
        <f aca="false">$B$9</f>
        <v>0.08</v>
      </c>
      <c r="J26" s="14" t="n">
        <f aca="false">IF(OR(F26=0,H26=0),0,(F26+H26)*I26)</f>
        <v>0</v>
      </c>
      <c r="K26" s="12"/>
      <c r="L26" s="14" t="n">
        <f aca="false">F26+H26+J26+K26</f>
        <v>0</v>
      </c>
      <c r="M26" s="14" t="n">
        <f aca="false">IF(E26=0,0,L26*E26)</f>
        <v>0</v>
      </c>
      <c r="N26" s="12"/>
      <c r="O26" s="14" t="n">
        <f aca="false">IF(M26=0,0,N26-M26)</f>
        <v>0</v>
      </c>
    </row>
    <row r="27" customFormat="false" ht="15" hidden="false" customHeight="false" outlineLevel="0" collapsed="false">
      <c r="A27" s="9" t="n">
        <v>16</v>
      </c>
      <c r="B27" s="10"/>
      <c r="C27" s="11"/>
      <c r="D27" s="11"/>
      <c r="E27" s="12"/>
      <c r="F27" s="12"/>
      <c r="G27" s="13" t="n">
        <f aca="false">$B$8</f>
        <v>0.3</v>
      </c>
      <c r="H27" s="14" t="n">
        <f aca="false">IF(F27=0,0,F27*G27)</f>
        <v>0</v>
      </c>
      <c r="I27" s="13" t="n">
        <f aca="false">$B$9</f>
        <v>0.08</v>
      </c>
      <c r="J27" s="14" t="n">
        <f aca="false">IF(OR(F27=0,H27=0),0,(F27+H27)*I27)</f>
        <v>0</v>
      </c>
      <c r="K27" s="12"/>
      <c r="L27" s="14" t="n">
        <f aca="false">F27+H27+J27+K27</f>
        <v>0</v>
      </c>
      <c r="M27" s="14" t="n">
        <f aca="false">IF(E27=0,0,L27*E27)</f>
        <v>0</v>
      </c>
      <c r="N27" s="12"/>
      <c r="O27" s="14" t="n">
        <f aca="false">IF(M27=0,0,N27-M27)</f>
        <v>0</v>
      </c>
    </row>
    <row r="28" customFormat="false" ht="15" hidden="false" customHeight="false" outlineLevel="0" collapsed="false">
      <c r="A28" s="9" t="n">
        <v>17</v>
      </c>
      <c r="B28" s="10"/>
      <c r="C28" s="11"/>
      <c r="D28" s="11"/>
      <c r="E28" s="12"/>
      <c r="F28" s="12"/>
      <c r="G28" s="13" t="n">
        <f aca="false">$B$8</f>
        <v>0.3</v>
      </c>
      <c r="H28" s="14" t="n">
        <f aca="false">IF(F28=0,0,F28*G28)</f>
        <v>0</v>
      </c>
      <c r="I28" s="13" t="n">
        <f aca="false">$B$9</f>
        <v>0.08</v>
      </c>
      <c r="J28" s="14" t="n">
        <f aca="false">IF(OR(F28=0,H28=0),0,(F28+H28)*I28)</f>
        <v>0</v>
      </c>
      <c r="K28" s="12"/>
      <c r="L28" s="14" t="n">
        <f aca="false">F28+H28+J28+K28</f>
        <v>0</v>
      </c>
      <c r="M28" s="14" t="n">
        <f aca="false">IF(E28=0,0,L28*E28)</f>
        <v>0</v>
      </c>
      <c r="N28" s="12"/>
      <c r="O28" s="14" t="n">
        <f aca="false">IF(M28=0,0,N28-M28)</f>
        <v>0</v>
      </c>
    </row>
    <row r="29" customFormat="false" ht="15" hidden="false" customHeight="false" outlineLevel="0" collapsed="false">
      <c r="A29" s="9" t="n">
        <v>18</v>
      </c>
      <c r="B29" s="10"/>
      <c r="C29" s="11"/>
      <c r="D29" s="11"/>
      <c r="E29" s="12"/>
      <c r="F29" s="12"/>
      <c r="G29" s="13" t="n">
        <f aca="false">$B$8</f>
        <v>0.3</v>
      </c>
      <c r="H29" s="14" t="n">
        <f aca="false">IF(F29=0,0,F29*G29)</f>
        <v>0</v>
      </c>
      <c r="I29" s="13" t="n">
        <f aca="false">$B$9</f>
        <v>0.08</v>
      </c>
      <c r="J29" s="14" t="n">
        <f aca="false">IF(OR(F29=0,H29=0),0,(F29+H29)*I29)</f>
        <v>0</v>
      </c>
      <c r="K29" s="12"/>
      <c r="L29" s="14" t="n">
        <f aca="false">F29+H29+J29+K29</f>
        <v>0</v>
      </c>
      <c r="M29" s="14" t="n">
        <f aca="false">IF(E29=0,0,L29*E29)</f>
        <v>0</v>
      </c>
      <c r="N29" s="12"/>
      <c r="O29" s="14" t="n">
        <f aca="false">IF(M29=0,0,N29-M29)</f>
        <v>0</v>
      </c>
    </row>
    <row r="30" customFormat="false" ht="15" hidden="false" customHeight="false" outlineLevel="0" collapsed="false">
      <c r="A30" s="9" t="n">
        <v>19</v>
      </c>
      <c r="B30" s="10"/>
      <c r="C30" s="11"/>
      <c r="D30" s="11"/>
      <c r="E30" s="12"/>
      <c r="F30" s="12"/>
      <c r="G30" s="13" t="n">
        <f aca="false">$B$8</f>
        <v>0.3</v>
      </c>
      <c r="H30" s="14" t="n">
        <f aca="false">IF(F30=0,0,F30*G30)</f>
        <v>0</v>
      </c>
      <c r="I30" s="13" t="n">
        <f aca="false">$B$9</f>
        <v>0.08</v>
      </c>
      <c r="J30" s="14" t="n">
        <f aca="false">IF(OR(F30=0,H30=0),0,(F30+H30)*I30)</f>
        <v>0</v>
      </c>
      <c r="K30" s="12"/>
      <c r="L30" s="14" t="n">
        <f aca="false">F30+H30+J30+K30</f>
        <v>0</v>
      </c>
      <c r="M30" s="14" t="n">
        <f aca="false">IF(E30=0,0,L30*E30)</f>
        <v>0</v>
      </c>
      <c r="N30" s="12"/>
      <c r="O30" s="14" t="n">
        <f aca="false">IF(M30=0,0,N30-M30)</f>
        <v>0</v>
      </c>
    </row>
    <row r="31" customFormat="false" ht="15" hidden="false" customHeight="false" outlineLevel="0" collapsed="false">
      <c r="A31" s="9" t="n">
        <v>20</v>
      </c>
      <c r="B31" s="10"/>
      <c r="C31" s="11"/>
      <c r="D31" s="11"/>
      <c r="E31" s="12"/>
      <c r="F31" s="12"/>
      <c r="G31" s="13" t="n">
        <f aca="false">$B$8</f>
        <v>0.3</v>
      </c>
      <c r="H31" s="14" t="n">
        <f aca="false">IF(F31=0,0,F31*G31)</f>
        <v>0</v>
      </c>
      <c r="I31" s="13" t="n">
        <f aca="false">$B$9</f>
        <v>0.08</v>
      </c>
      <c r="J31" s="14" t="n">
        <f aca="false">IF(OR(F31=0,H31=0),0,(F31+H31)*I31)</f>
        <v>0</v>
      </c>
      <c r="K31" s="12"/>
      <c r="L31" s="14" t="n">
        <f aca="false">F31+H31+J31+K31</f>
        <v>0</v>
      </c>
      <c r="M31" s="14" t="n">
        <f aca="false">IF(E31=0,0,L31*E31)</f>
        <v>0</v>
      </c>
      <c r="N31" s="12"/>
      <c r="O31" s="14" t="n">
        <f aca="false">IF(M31=0,0,N31-M31)</f>
        <v>0</v>
      </c>
    </row>
    <row r="32" customFormat="false" ht="15" hidden="false" customHeight="false" outlineLevel="0" collapsed="false">
      <c r="A32" s="15" t="s">
        <v>28</v>
      </c>
      <c r="B32" s="15"/>
      <c r="C32" s="15"/>
      <c r="D32" s="15"/>
      <c r="E32" s="15"/>
      <c r="M32" s="16" t="n">
        <f aca="false">SUM(M$12:M$31)</f>
        <v>0</v>
      </c>
      <c r="N32" s="16" t="n">
        <f aca="false">SUM(N$12:N$31)</f>
        <v>0</v>
      </c>
      <c r="O32" s="16" t="n">
        <f aca="false">SUM(O$12:O$31)</f>
        <v>0</v>
      </c>
    </row>
    <row r="35" customFormat="false" ht="15" hidden="false" customHeight="false" outlineLevel="0" collapsed="false">
      <c r="A35" s="2" t="s">
        <v>29</v>
      </c>
      <c r="B35" s="2"/>
    </row>
    <row r="36" customFormat="false" ht="15" hidden="false" customHeight="false" outlineLevel="0" collapsed="false">
      <c r="A36" s="3" t="s">
        <v>30</v>
      </c>
      <c r="B36" s="17" t="n">
        <f aca="false">M$32</f>
        <v>0</v>
      </c>
    </row>
    <row r="37" customFormat="false" ht="15" hidden="false" customHeight="false" outlineLevel="0" collapsed="false">
      <c r="A37" s="3" t="s">
        <v>31</v>
      </c>
      <c r="B37" s="17" t="n">
        <f aca="false">N$32</f>
        <v>0</v>
      </c>
    </row>
    <row r="38" customFormat="false" ht="15" hidden="false" customHeight="false" outlineLevel="0" collapsed="false">
      <c r="A38" s="3" t="s">
        <v>32</v>
      </c>
      <c r="B38" s="17" t="n">
        <f aca="false">O$32</f>
        <v>0</v>
      </c>
    </row>
    <row r="39" customFormat="false" ht="15" hidden="false" customHeight="false" outlineLevel="0" collapsed="false">
      <c r="A39" s="3" t="s">
        <v>33</v>
      </c>
      <c r="B39" s="18" t="n">
        <f aca="false">IF(N$32=0,0,O$32/N$32)</f>
        <v>0</v>
      </c>
    </row>
    <row r="40" customFormat="false" ht="15" hidden="false" customHeight="false" outlineLevel="0" collapsed="false">
      <c r="A40" s="19" t="s">
        <v>34</v>
      </c>
      <c r="B40" s="20" t="str">
        <f aca="false">IF(B39&gt;=$D$8,"✓ VIÁVEL - Margem OK","✗ NÃO VIÁVEL - Margem &lt; 15%")</f>
        <v>✗ NÃO VIÁVEL - Margem &lt; 15%</v>
      </c>
    </row>
    <row r="43" customFormat="false" ht="15" hidden="false" customHeight="false" outlineLevel="0" collapsed="false">
      <c r="A43" s="21" t="s">
        <v>35</v>
      </c>
    </row>
    <row r="44" customFormat="false" ht="15" hidden="false" customHeight="false" outlineLevel="0" collapsed="false">
      <c r="A44" s="22" t="s">
        <v>36</v>
      </c>
    </row>
    <row r="45" customFormat="false" ht="15" hidden="false" customHeight="false" outlineLevel="0" collapsed="false">
      <c r="A45" s="22" t="s">
        <v>37</v>
      </c>
    </row>
    <row r="46" customFormat="false" ht="15" hidden="false" customHeight="false" outlineLevel="0" collapsed="false">
      <c r="A46" s="22" t="s">
        <v>38</v>
      </c>
    </row>
    <row r="47" customFormat="false" ht="15" hidden="false" customHeight="false" outlineLevel="0" collapsed="false">
      <c r="A47" s="22" t="s">
        <v>39</v>
      </c>
    </row>
    <row r="48" customFormat="false" ht="15" hidden="false" customHeight="false" outlineLevel="0" collapsed="false">
      <c r="A48" s="22" t="s">
        <v>40</v>
      </c>
    </row>
  </sheetData>
  <mergeCells count="6">
    <mergeCell ref="A1:O1"/>
    <mergeCell ref="A3:B3"/>
    <mergeCell ref="D4:F4"/>
    <mergeCell ref="A7:B7"/>
    <mergeCell ref="A32:E32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2026-06-11T18:44:43Z</dcterms:created>
  <dc:creator>openpyxl</dc:creator>
  <dc:description/>
  <dc:language>en-US</dc:language>
  <cp:lastModifiedBy/>
  <dcterms:modified xsi:type="dcterms:W3CDTF">2026-06-11T18:44:43Z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